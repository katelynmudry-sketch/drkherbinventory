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and Constiuets" sheetId="1" r:id="rId4"/>
    <sheet state="visible" name="Prices and Formulas" sheetId="2" r:id="rId5"/>
    <sheet state="visible" name="Sheet1" sheetId="3" r:id="rId6"/>
  </sheets>
  <definedNames/>
  <calcPr/>
  <extLst>
    <ext uri="GoogleSheetsCustomDataVersion2">
      <go:sheetsCustomData xmlns:go="http://customooxmlschemas.google.com/" r:id="rId7" roundtripDataChecksum="MzvFYr33RFbLd9eG2KWXeQw3d6iPA2VBB7FQP9+aqPo="/>
    </ext>
  </extLst>
</workbook>
</file>

<file path=xl/sharedStrings.xml><?xml version="1.0" encoding="utf-8"?>
<sst xmlns="http://schemas.openxmlformats.org/spreadsheetml/2006/main" count="253" uniqueCount="237">
  <si>
    <t>Herb</t>
  </si>
  <si>
    <t>Alcohol %</t>
  </si>
  <si>
    <t>Other</t>
  </si>
  <si>
    <t>Harvest</t>
  </si>
  <si>
    <t>Top Constituents</t>
  </si>
  <si>
    <t>alfalfa</t>
  </si>
  <si>
    <t>vinegar</t>
  </si>
  <si>
    <t>steroidal saponins, sterols, coumarins, flavonoids, isoflavones, coumestral analogues, alkaloids, proteins, estrogens, and variety of vitamins and minerals including vitamins B, C, E, K, calcium, iron, magnesium, phosphorous, and potassium - herbarium</t>
  </si>
  <si>
    <t>Agrimony</t>
  </si>
  <si>
    <t>45 with glyc</t>
  </si>
  <si>
    <t>tannines, nicotimades, hyperoside</t>
  </si>
  <si>
    <t>Althea</t>
  </si>
  <si>
    <t>angelica</t>
  </si>
  <si>
    <t>Ashwaganda</t>
  </si>
  <si>
    <t>Avena</t>
  </si>
  <si>
    <t>Artemesia/wormwood</t>
  </si>
  <si>
    <t>Astragalus</t>
  </si>
  <si>
    <t>decoction with 20</t>
  </si>
  <si>
    <t>Anis</t>
  </si>
  <si>
    <t>60 blened (just picked same as fennel)</t>
  </si>
  <si>
    <t>artichoke</t>
  </si>
  <si>
    <t>Bacopa</t>
  </si>
  <si>
    <t>Triterpenoid saponins (Bacosides A &amp; B), mannitol, triterpenes (betulinic acid), phytosterols, flavonoids, alkaloids (including brahmine, nicotine, herpestine), potassium  - herbarium</t>
  </si>
  <si>
    <t>Baptisia</t>
  </si>
  <si>
    <t>Bayberry root bark</t>
  </si>
  <si>
    <t>Birch Leaf</t>
  </si>
  <si>
    <t>fresh as vinegar</t>
  </si>
  <si>
    <t>Birch Bark</t>
  </si>
  <si>
    <t>Bee Balm</t>
  </si>
  <si>
    <t>Black Haw</t>
  </si>
  <si>
    <t>Black cohosh</t>
  </si>
  <si>
    <t>Black Pepper</t>
  </si>
  <si>
    <t>Black Walnut</t>
  </si>
  <si>
    <t>Blessed Thistle</t>
  </si>
  <si>
    <t>Blue cohosh</t>
  </si>
  <si>
    <t>Blue Vervain</t>
  </si>
  <si>
    <t>Borage</t>
  </si>
  <si>
    <t>Boneset</t>
  </si>
  <si>
    <t>Burdock</t>
  </si>
  <si>
    <t>25 with glyc</t>
  </si>
  <si>
    <t>Bugleweed</t>
  </si>
  <si>
    <t>bupleurum</t>
  </si>
  <si>
    <t>California Poppy</t>
  </si>
  <si>
    <t>fresh 60</t>
  </si>
  <si>
    <t>Catnip</t>
  </si>
  <si>
    <t>Volatile oil (carvacrol, citronellal, nerol, geraniol, pulegone, thymol, nepetalic acid) iridoids, and tannins (Hoffmann, 2003)</t>
  </si>
  <si>
    <t>cat's claw</t>
  </si>
  <si>
    <t>Calamus</t>
  </si>
  <si>
    <t>Calendula</t>
  </si>
  <si>
    <t>60?</t>
  </si>
  <si>
    <t>chamomile</t>
  </si>
  <si>
    <t>Glycerites</t>
  </si>
  <si>
    <t>(lucy jones)</t>
  </si>
  <si>
    <t>Chelidonium (Fresh)</t>
  </si>
  <si>
    <t>oil</t>
  </si>
  <si>
    <t>cinnamon</t>
  </si>
  <si>
    <t>Cleaver</t>
  </si>
  <si>
    <t>Comfery root</t>
  </si>
  <si>
    <t>cold infusion 25</t>
  </si>
  <si>
    <t>Couch grass</t>
  </si>
  <si>
    <t>cramp bark</t>
  </si>
  <si>
    <t>Damiana</t>
  </si>
  <si>
    <t>dandelion leaf</t>
  </si>
  <si>
    <t>dandelion root</t>
  </si>
  <si>
    <t>yard, may</t>
  </si>
  <si>
    <t>devils club</t>
  </si>
  <si>
    <t>Devil's claw</t>
  </si>
  <si>
    <t>Dong Quai</t>
  </si>
  <si>
    <t>Echinacea Augs</t>
  </si>
  <si>
    <t>Fresh - 65</t>
  </si>
  <si>
    <t>Echinacea Purpur LEAF</t>
  </si>
  <si>
    <t>Echinacea Purpur ROOT</t>
  </si>
  <si>
    <t>Eclipta</t>
  </si>
  <si>
    <t>50?</t>
  </si>
  <si>
    <t>eleuthero</t>
  </si>
  <si>
    <t>Erigeron</t>
  </si>
  <si>
    <t>Flavonoids, bitters, tannins and gallic acids, and volatile oils (including limonene, terpineol, and linalool)</t>
  </si>
  <si>
    <t>Fennel</t>
  </si>
  <si>
    <t>60 BLENDEe</t>
  </si>
  <si>
    <t>Feverfew</t>
  </si>
  <si>
    <t>gentian</t>
  </si>
  <si>
    <t>Goldenrod/Solidago</t>
  </si>
  <si>
    <t>Ginkgo</t>
  </si>
  <si>
    <t>gotu kola</t>
  </si>
  <si>
    <t>Goji</t>
  </si>
  <si>
    <t>ginger</t>
  </si>
  <si>
    <t>Gravel root</t>
  </si>
  <si>
    <t>hawthorn</t>
  </si>
  <si>
    <t>Hops</t>
  </si>
  <si>
    <t>community garden, fall</t>
  </si>
  <si>
    <t>Horse tail</t>
  </si>
  <si>
    <t>tea only</t>
  </si>
  <si>
    <t>nature park, June</t>
  </si>
  <si>
    <t>Horse chestnut</t>
  </si>
  <si>
    <t>Hypericum</t>
  </si>
  <si>
    <t>55 fresh, 60 dried</t>
  </si>
  <si>
    <t>hyssop</t>
  </si>
  <si>
    <t>45-50</t>
  </si>
  <si>
    <t>tea for the cold</t>
  </si>
  <si>
    <t>Alpha-glucosidase inhibitors, essential oil, thujone, phenols, diterpenes, triterpenoid saponins, flavonoids, hysopin, tannins (Hoffman, 2003).</t>
  </si>
  <si>
    <t>Inula</t>
  </si>
  <si>
    <t xml:space="preserve">*expands a lot put in a bit less then half full </t>
  </si>
  <si>
    <t>Iris</t>
  </si>
  <si>
    <t>Juniper</t>
  </si>
  <si>
    <t>labrador tea</t>
  </si>
  <si>
    <t>lavendar</t>
  </si>
  <si>
    <t>55-60</t>
  </si>
  <si>
    <t>ladys mantle</t>
  </si>
  <si>
    <t>lemon balm</t>
  </si>
  <si>
    <t>lemongrass</t>
  </si>
  <si>
    <t>Licorice</t>
  </si>
  <si>
    <t>linden</t>
  </si>
  <si>
    <t>25-40</t>
  </si>
  <si>
    <t>lomatsium</t>
  </si>
  <si>
    <t>Lycopus</t>
  </si>
  <si>
    <t>maca</t>
  </si>
  <si>
    <t>Meadowsweet</t>
  </si>
  <si>
    <t>50/10 glyc</t>
  </si>
  <si>
    <t>milk thistle</t>
  </si>
  <si>
    <t>80-90</t>
  </si>
  <si>
    <t>marshmallow</t>
  </si>
  <si>
    <t>Mullein</t>
  </si>
  <si>
    <t>Mullien root</t>
  </si>
  <si>
    <t>Same % as most roots from Czech</t>
  </si>
  <si>
    <t>Mugwort</t>
  </si>
  <si>
    <t>25? herbarium</t>
  </si>
  <si>
    <t>Volatile oils, sesquiterpene lactones, tannins, flavonoids, coumarin derivatives, triterpenes (Hoffman, 2003).</t>
  </si>
  <si>
    <t>Motherwort</t>
  </si>
  <si>
    <t>35-50</t>
  </si>
  <si>
    <t>tea/syrup</t>
  </si>
  <si>
    <t>nettle leaf</t>
  </si>
  <si>
    <t>glycerites</t>
  </si>
  <si>
    <t>Nettle root</t>
  </si>
  <si>
    <t>Oak</t>
  </si>
  <si>
    <t>50 with glyc?</t>
  </si>
  <si>
    <t xml:space="preserve">tannins </t>
  </si>
  <si>
    <t>Ociumum</t>
  </si>
  <si>
    <t>Olive leag</t>
  </si>
  <si>
    <t>Orange peel</t>
  </si>
  <si>
    <t>yarnell - I would use 60% etoh which should extract the bitter terpenoids very effectively. Bitters can come from a huge range of constituents with different solubilities</t>
  </si>
  <si>
    <t>Oregon Grape</t>
  </si>
  <si>
    <t>Oregano</t>
  </si>
  <si>
    <t>Osha?</t>
  </si>
  <si>
    <t>peppermint</t>
  </si>
  <si>
    <t>Parsley</t>
  </si>
  <si>
    <t>40?</t>
  </si>
  <si>
    <t>Passion Flower</t>
  </si>
  <si>
    <t>Poppy</t>
  </si>
  <si>
    <t>Periwinkle</t>
  </si>
  <si>
    <t>55 (oryane did fresh)</t>
  </si>
  <si>
    <t>Peony (white root)</t>
  </si>
  <si>
    <t>plantain</t>
  </si>
  <si>
    <t>Raspberry leaf</t>
  </si>
  <si>
    <t>Red Clover</t>
  </si>
  <si>
    <t>Rheum</t>
  </si>
  <si>
    <t>make with 65 and top up with gly</t>
  </si>
  <si>
    <t>Rhodiola</t>
  </si>
  <si>
    <t>Rose</t>
  </si>
  <si>
    <t>Rosemary</t>
  </si>
  <si>
    <t>Rue</t>
  </si>
  <si>
    <t>55/10V</t>
  </si>
  <si>
    <t>Rumex</t>
  </si>
  <si>
    <t>vinegar, molasses, decoction</t>
  </si>
  <si>
    <t>sage</t>
  </si>
  <si>
    <t>Beta-carotene, vitamins B1 and B2, niacin, vitamin C, calcium, iron, magnesium, essential oils (thujone, borneol, cineol, camphor, pinene, salvene), bitter principle (picrosalvine), flavonoids, tannin, phenolic acids (rosmarinic, caffeic, labiatic), phytoestrogens, resin (Mars, 2007)</t>
  </si>
  <si>
    <t>sarsasparilla</t>
  </si>
  <si>
    <t>Self heal</t>
  </si>
  <si>
    <t>50/10glyc</t>
  </si>
  <si>
    <t>Scut lat FRESH</t>
  </si>
  <si>
    <t>Schisandra</t>
  </si>
  <si>
    <t>Shatavri</t>
  </si>
  <si>
    <t>25-45</t>
  </si>
  <si>
    <t>shepards purse</t>
  </si>
  <si>
    <t>solomens seal</t>
  </si>
  <si>
    <t>Spikenard</t>
  </si>
  <si>
    <t>Spilanthes</t>
  </si>
  <si>
    <t>55/10V, 75</t>
  </si>
  <si>
    <r>
      <rPr>
        <rFont val="Open Sans"/>
        <color rgb="FF333333"/>
        <sz val="10.0"/>
      </rPr>
      <t>Alkaloids (the majority being lipophilic alkylamides including spilanthol), phytosterols, essential oils (including limonene and</t>
    </r>
    <r>
      <rPr>
        <rFont val="Open Sans"/>
        <color rgb="FF333333"/>
        <sz val="10.0"/>
      </rPr>
      <t>聽</t>
    </r>
    <r>
      <rPr>
        <rFont val="Open Sans"/>
        <i/>
        <color rgb="FF333333"/>
        <sz val="10.0"/>
      </rPr>
      <t>尾</t>
    </r>
    <r>
      <rPr>
        <rFont val="Open Sans"/>
        <color rgb="FF333333"/>
        <sz val="10.0"/>
      </rPr>
      <t>-caryophyllene), glycosides, tannins, phenolic compounds, sesquiterpenes (</t>
    </r>
    <r>
      <rPr>
        <rFont val="Open Sans"/>
        <i/>
        <color rgb="FF333333"/>
        <sz val="10.0"/>
      </rPr>
      <t>伪</t>
    </r>
    <r>
      <rPr>
        <rFont val="Open Sans"/>
        <color rgb="FF333333"/>
        <sz val="10.0"/>
      </rPr>
      <t>- and</t>
    </r>
    <r>
      <rPr>
        <rFont val="Open Sans"/>
        <color rgb="FF333333"/>
        <sz val="10.0"/>
      </rPr>
      <t>聽</t>
    </r>
    <r>
      <rPr>
        <rFont val="Open Sans"/>
        <i/>
        <color rgb="FF333333"/>
        <sz val="10.0"/>
      </rPr>
      <t>尾</t>
    </r>
    <r>
      <rPr>
        <rFont val="Open Sans"/>
        <color rgb="FF333333"/>
        <sz val="10.0"/>
      </rPr>
      <t>-bisabolenes and cadinenes), flavonoid glucosides, vanillic acid, coumarin, and carbohydrates (Arora et al., 2011; Prachayasittikul et al., 2013; Rondanelli et al., 2020).</t>
    </r>
  </si>
  <si>
    <t>Thyme</t>
  </si>
  <si>
    <t>Tulsi</t>
  </si>
  <si>
    <t>valerian</t>
  </si>
  <si>
    <t>Vitex</t>
  </si>
  <si>
    <t>blended, 65</t>
  </si>
  <si>
    <t>Yarrow</t>
  </si>
  <si>
    <t>Wild Lettuce</t>
  </si>
  <si>
    <t>fresh, 60-70</t>
  </si>
  <si>
    <t>Wild yam</t>
  </si>
  <si>
    <t>White oak</t>
  </si>
  <si>
    <t>Formulas</t>
  </si>
  <si>
    <t>price per gram</t>
  </si>
  <si>
    <t>used small</t>
  </si>
  <si>
    <t>price small</t>
  </si>
  <si>
    <t>used big</t>
  </si>
  <si>
    <t>price big</t>
  </si>
  <si>
    <t>Heart Tea</t>
  </si>
  <si>
    <t>Hawthorn</t>
  </si>
  <si>
    <t>35g (1.25 cups)</t>
  </si>
  <si>
    <t>60 (2.5 cups)</t>
  </si>
  <si>
    <t>lavender</t>
  </si>
  <si>
    <t xml:space="preserve"> </t>
  </si>
  <si>
    <t>tulsi</t>
  </si>
  <si>
    <t>rose</t>
  </si>
  <si>
    <t>licorice</t>
  </si>
  <si>
    <t>fennel</t>
  </si>
  <si>
    <t>Milk Thistle topper</t>
  </si>
  <si>
    <t>Skin Scrub</t>
  </si>
  <si>
    <t>Oil</t>
  </si>
  <si>
    <t>Sugar</t>
  </si>
  <si>
    <t>Neem</t>
  </si>
  <si>
    <t>calendula</t>
  </si>
  <si>
    <t>Brain tea</t>
  </si>
  <si>
    <t>labrador, bacopa</t>
  </si>
  <si>
    <t>gotukola</t>
  </si>
  <si>
    <t>Flu tea</t>
  </si>
  <si>
    <t>yarrow</t>
  </si>
  <si>
    <t>Nerve tea - oats, nettles, skullcap, mint, sage, hawthoren</t>
  </si>
  <si>
    <t>echinacea</t>
  </si>
  <si>
    <t>mullein</t>
  </si>
  <si>
    <t xml:space="preserve">Pregnancy tea - out horsetail, meadow sweet and Hawthorne in 1st tri, maybe put back horsetail in 3rd? </t>
  </si>
  <si>
    <t>Blood building 2 - dock, dandy root, ashwaganda, goji, lemongrass1/2. 1/3 cup = 30g</t>
  </si>
  <si>
    <t>Immmune broth 2- 1.5 dried mushrooms(5g for 1/4cup), astgralaus2, seaweed(1/4), fennel? Ginger(1/4), echinacea root, thyme (1/2). 15g =1/2 cup in 500ml</t>
  </si>
  <si>
    <t>ml</t>
  </si>
  <si>
    <t>Nutrient infusion - Nettles, alfalfa, dandelion leaf</t>
  </si>
  <si>
    <t>15g(1/2cup)500ml 2 servings, 2cups (60g)= 4 weeks (1/2 per week)</t>
  </si>
  <si>
    <t>ml, g/ml</t>
  </si>
  <si>
    <t>8.36$/L</t>
  </si>
  <si>
    <t xml:space="preserve">New urinary tea - golden rod, pipasisswa, </t>
  </si>
  <si>
    <t>Vinegar (9.5L /$79.50)</t>
  </si>
  <si>
    <t>herb</t>
  </si>
  <si>
    <t>Bitters 1 - OGR&lt; artemisa, chamomile glyc, dandy root, hyssop, bee balm</t>
  </si>
  <si>
    <t>Total</t>
  </si>
  <si>
    <t xml:space="preserve">Every Body Bitters - peppermint and chamo glyc, OGR, dandy root, bee balm, hyssop. </t>
  </si>
  <si>
    <t>SELLING PRICE</t>
  </si>
  <si>
    <t>Tea formulating - 2-3 tablespoons daily is 30-45ml daily = 900mls/month  = 3.6 cups/6 herbs = 0.6 cups per herb  = average .5 cup per herb. 1 cup ~ 30 g, 1 bag 70-120 g </t>
  </si>
  <si>
    <t>Tea Herbs 25-30$/lb (450g) = 0.06$ per g.  = 8$ cost per bag.</t>
  </si>
  <si>
    <t>Gut tea 3 cups =1.5 pints 14 grams</t>
  </si>
  <si>
    <t>tincture pricing - peony 228 g herb, 800 ml 50%</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</si>
</sst>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Red]\-&quot;$&quot;#,##0"/>
    <numFmt numFmtId="165" formatCode="#,##0.00&quot;$&quot;"/>
  </numFmts>
  <fonts count="6">
    <font>
      <sz val="12.0"/>
      <color theme="1"/>
      <name val="Calibri"/>
      <scheme val="minor"/>
    </font>
    <font>
      <b/>
      <sz val="12.0"/>
      <color theme="1"/>
      <name val="Calibri"/>
    </font>
    <font>
      <sz val="12.0"/>
      <color theme="1"/>
      <name val="Calibri"/>
    </font>
    <font>
      <color theme="1"/>
      <name val="Calibri"/>
      <scheme val="minor"/>
    </font>
    <font>
      <sz val="10.0"/>
      <color rgb="FF333333"/>
      <name val="Open Sans"/>
    </font>
    <font>
      <sz val="11.0"/>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Font="1"/>
    <xf borderId="0" fillId="0" fontId="2" numFmtId="0" xfId="0" applyFont="1"/>
    <xf borderId="0" fillId="0" fontId="2" numFmtId="0" xfId="0" applyAlignment="1" applyFont="1">
      <alignment readingOrder="0"/>
    </xf>
    <xf borderId="0" fillId="0" fontId="2" numFmtId="9" xfId="0" applyAlignment="1" applyFont="1" applyNumberFormat="1">
      <alignment readingOrder="0"/>
    </xf>
    <xf borderId="0" fillId="0" fontId="3" numFmtId="0" xfId="0" applyAlignment="1" applyFont="1">
      <alignment readingOrder="0"/>
    </xf>
    <xf borderId="0" fillId="0" fontId="3" numFmtId="0" xfId="0" applyFont="1"/>
    <xf borderId="0" fillId="0" fontId="4" numFmtId="0" xfId="0" applyFont="1"/>
    <xf borderId="0" fillId="0" fontId="2" numFmtId="9" xfId="0" applyFont="1" applyNumberFormat="1"/>
    <xf borderId="0" fillId="0" fontId="2" numFmtId="164" xfId="0" applyFont="1" applyNumberFormat="1"/>
    <xf borderId="0" fillId="0" fontId="3" numFmtId="165" xfId="0" applyAlignment="1" applyFont="1" applyNumberFormat="1">
      <alignment readingOrder="0"/>
    </xf>
    <xf borderId="0" fillId="0" fontId="2" numFmtId="165" xfId="0" applyAlignment="1" applyFont="1" applyNumberFormat="1">
      <alignment readingOrder="0"/>
    </xf>
    <xf borderId="0" fillId="0" fontId="2" numFmtId="165" xfId="0" applyFont="1" applyNumberFormat="1"/>
    <xf borderId="0" fillId="0" fontId="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552450</xdr:colOff>
      <xdr:row>40</xdr:row>
      <xdr:rowOff>76200</xdr:rowOff>
    </xdr:from>
    <xdr:ext cx="3190875" cy="2247900"/>
    <xdr:sp>
      <xdr:nvSpPr>
        <xdr:cNvPr id="3" name="Shape 3"/>
        <xdr:cNvSpPr txBox="1"/>
      </xdr:nvSpPr>
      <xdr:spPr>
        <a:xfrm>
          <a:off x="3755325" y="2660813"/>
          <a:ext cx="3181350" cy="223837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40% does not work well for herbs rich in terpenoids, phenylpropanoids (both need at least 60% etoh IMHO), alkaloids (at least 50%), or resins (90%). Everything else would be fine at that or lower. Honestly I almost never do anything at 40%, as usually 30% works great for water solubles, and why put in more alcohol if you don't need to?</a:t>
          </a:r>
          <a:endParaRPr sz="1100"/>
        </a:p>
        <a:p>
          <a:pPr indent="0" lvl="0" marL="0" rtl="0" algn="l">
            <a:spcBef>
              <a:spcPts val="0"/>
            </a:spcBef>
            <a:spcAft>
              <a:spcPts val="0"/>
            </a:spcAft>
            <a:buSzPts val="1100"/>
            <a:buFont typeface="Arial"/>
            <a:buNone/>
          </a:pPr>
          <a:r>
            <a:t/>
          </a:r>
          <a:endParaRPr sz="1100"/>
        </a:p>
        <a:p>
          <a:pPr indent="0" lvl="0" marL="0" rtl="0" algn="l">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saponins are freely water soluble, 30% etoh is plenty to extract. But you can't go wrong, as they have water- and fat-soluble ends. That's part of what makes them so darn useful. - Eric Yarnell</a:t>
          </a:r>
          <a:endParaRPr sz="1100"/>
        </a:p>
      </xdr:txBody>
    </xdr:sp>
    <xdr:clientData fLocksWithSheet="0"/>
  </xdr:oneCellAnchor>
  <xdr:oneCellAnchor>
    <xdr:from>
      <xdr:col>2</xdr:col>
      <xdr:colOff>933450</xdr:colOff>
      <xdr:row>45</xdr:row>
      <xdr:rowOff>152400</xdr:rowOff>
    </xdr:from>
    <xdr:ext cx="2867025" cy="6362700"/>
    <xdr:sp>
      <xdr:nvSpPr>
        <xdr:cNvPr id="4" name="Shape 4"/>
        <xdr:cNvSpPr txBox="1"/>
      </xdr:nvSpPr>
      <xdr:spPr>
        <a:xfrm>
          <a:off x="3917250" y="603413"/>
          <a:ext cx="2857500" cy="63531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Alkaloids - not heat stable. 55% A, 10% V, end in ine</a:t>
          </a:r>
          <a:endParaRPr sz="1100"/>
        </a:p>
        <a:p>
          <a:pPr indent="0" lvl="0" marL="0" rtl="0" algn="l">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Bitters - 30-60%</a:t>
          </a:r>
          <a:endParaRPr sz="1100"/>
        </a:p>
        <a:p>
          <a:pPr indent="0" lvl="0" marL="0" rtl="0" algn="l">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Essential oils - alcoho, oils, glycerin. 60% ethanol for plants in which you want to reliably and completely extract low molecular weight terpenoids (EY). </a:t>
          </a:r>
          <a:endParaRPr sz="1100"/>
        </a:p>
        <a:p>
          <a:pPr indent="0" lvl="0" marL="0" rtl="0" algn="l">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Enzymes - vinegar, water (destroyed in etoh)</a:t>
          </a:r>
          <a:endParaRPr sz="1100"/>
        </a:p>
        <a:p>
          <a:pPr indent="0" lvl="0" marL="0" rtl="0" algn="l">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Flavonoids - w, a, o</a:t>
          </a:r>
          <a:endParaRPr sz="1100"/>
        </a:p>
        <a:p>
          <a:pPr indent="0" lvl="0" marL="0" rtl="0" algn="l">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Glycoside - 30-60%, end in in</a:t>
          </a:r>
          <a:endParaRPr sz="1100"/>
        </a:p>
        <a:p>
          <a:pPr indent="0" lvl="0" marL="0" rtl="0" algn="l">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Mucilage - w, make in lowest a% possible</a:t>
          </a:r>
          <a:endParaRPr sz="1100"/>
        </a:p>
        <a:p>
          <a:pPr indent="0" lvl="0" marL="0" rtl="0" algn="l">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Saponins - low A, W</a:t>
          </a:r>
          <a:endParaRPr sz="1100"/>
        </a:p>
        <a:p>
          <a:pPr indent="0" lvl="0" marL="0" rtl="0" algn="l">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Sugars - W, low A</a:t>
          </a:r>
          <a:endParaRPr sz="1100"/>
        </a:p>
        <a:p>
          <a:pPr indent="0" lvl="0" marL="0" rtl="0" algn="l">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Tannins - 20%, with glycerin to avoid precip (or shake the bottle)</a:t>
          </a:r>
          <a:endParaRPr sz="1100"/>
        </a:p>
        <a:p>
          <a:pPr indent="0" lvl="0" marL="0" rtl="0" algn="l">
            <a:spcBef>
              <a:spcPts val="0"/>
            </a:spcBef>
            <a:spcAft>
              <a:spcPts val="0"/>
            </a:spcAft>
            <a:buSzPts val="1100"/>
            <a:buFont typeface="Arial"/>
            <a:buNone/>
          </a:pPr>
          <a:r>
            <a:t/>
          </a:r>
          <a:endParaRPr sz="1100"/>
        </a:p>
        <a:p>
          <a:pPr indent="0" lvl="0" marL="0" rtl="0" algn="l">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Glycerins -  can decot the herb to use as the water in the glycerin</a:t>
          </a:r>
          <a:endParaRPr sz="1100"/>
        </a:p>
        <a:p>
          <a:pPr indent="0" lvl="0" marL="0" rtl="0" algn="l">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https://www.youtube.com/watch?v=xU7RdwxDARQ - low water simmer for 6 hours</a:t>
          </a:r>
          <a:endParaRPr sz="1100"/>
        </a:p>
        <a:p>
          <a:pPr indent="0" lvl="0" marL="0" rtl="0" algn="l">
            <a:spcBef>
              <a:spcPts val="0"/>
            </a:spcBef>
            <a:spcAft>
              <a:spcPts val="0"/>
            </a:spcAft>
            <a:buSzPts val="1100"/>
            <a:buFont typeface="Arial"/>
            <a:buNone/>
          </a:pPr>
          <a:r>
            <a:t/>
          </a:r>
          <a:endParaRPr sz="1100"/>
        </a:p>
        <a:p>
          <a:pPr indent="0" lvl="0" marL="0" rtl="0" algn="l">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glycerin dried - 60gly/40 water</a:t>
          </a:r>
          <a:endParaRPr sz="1100"/>
        </a:p>
        <a:p>
          <a:pPr indent="0" lvl="0" marL="0" rtl="0" algn="l">
            <a:spcBef>
              <a:spcPts val="0"/>
            </a:spcBef>
            <a:spcAft>
              <a:spcPts val="0"/>
            </a:spcAft>
            <a:buSzPts val="1100"/>
            <a:buFont typeface="Arial"/>
            <a:buNone/>
          </a:pPr>
          <a:r>
            <a:t/>
          </a:r>
          <a:endParaRPr sz="1100"/>
        </a:p>
        <a:p>
          <a:pPr indent="0" lvl="0" marL="0" rtl="0" algn="l">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Strong decoction - 60 g/L water</a:t>
          </a:r>
          <a:endParaRPr sz="11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219075</xdr:colOff>
      <xdr:row>0</xdr:row>
      <xdr:rowOff>0</xdr:rowOff>
    </xdr:from>
    <xdr:ext cx="3019425" cy="7010400"/>
    <xdr:sp>
      <xdr:nvSpPr>
        <xdr:cNvPr id="5" name="Shape 5"/>
        <xdr:cNvSpPr txBox="1"/>
      </xdr:nvSpPr>
      <xdr:spPr>
        <a:xfrm>
          <a:off x="3788663" y="556740"/>
          <a:ext cx="3114675" cy="644652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measurement cups for a large batch</a:t>
          </a:r>
          <a:endParaRPr sz="1100"/>
        </a:p>
        <a:p>
          <a:pPr indent="0" lvl="0" marL="0" rtl="0" algn="l">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Gut Healing tea: Echinacea (1), chamomille (2), peppermint (2), lcorice (1), marshmallow root(2), horestail</a:t>
          </a:r>
          <a:endParaRPr sz="1100"/>
        </a:p>
        <a:p>
          <a:pPr indent="0" lvl="0" marL="0" rtl="0" algn="l">
            <a:spcBef>
              <a:spcPts val="0"/>
            </a:spcBef>
            <a:spcAft>
              <a:spcPts val="0"/>
            </a:spcAft>
            <a:buSzPts val="1100"/>
            <a:buFont typeface="Arial"/>
            <a:buNone/>
          </a:pPr>
          <a:r>
            <a:t/>
          </a:r>
          <a:endParaRPr sz="1100"/>
        </a:p>
        <a:p>
          <a:pPr indent="0" lvl="0" marL="0" rtl="0" algn="l">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Ulcer tea: Licorice, chamommill, artemesia, astragalus, masrhmallow, equisetum</a:t>
          </a:r>
          <a:endParaRPr sz="1100"/>
        </a:p>
        <a:p>
          <a:pPr indent="0" lvl="0" marL="0" rtl="0" algn="l">
            <a:spcBef>
              <a:spcPts val="0"/>
            </a:spcBef>
            <a:spcAft>
              <a:spcPts val="0"/>
            </a:spcAft>
            <a:buSzPts val="1100"/>
            <a:buFont typeface="Arial"/>
            <a:buNone/>
          </a:pPr>
          <a:r>
            <a:t/>
          </a:r>
          <a:endParaRPr sz="1100"/>
        </a:p>
        <a:p>
          <a:pPr indent="0" lvl="0" marL="0" rtl="0" algn="l">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Urinary Bladder tea: horsetail (2), nettle root and leaf (1 each), marshmellow root (2), rosemary (/5) , calendula (1), olive leaf (ecoli),  licorice (1), pipssiswa (1)</a:t>
          </a:r>
          <a:endParaRPr sz="1100">
            <a:solidFill>
              <a:schemeClr val="dk1"/>
            </a:solidFill>
            <a:latin typeface="Calibri"/>
            <a:ea typeface="Calibri"/>
            <a:cs typeface="Calibri"/>
            <a:sym typeface="Calibri"/>
          </a:endParaRPr>
        </a:p>
        <a:p>
          <a:pPr indent="0" lvl="0" marL="0" rtl="0" algn="l">
            <a:spcBef>
              <a:spcPts val="0"/>
            </a:spcBef>
            <a:spcAft>
              <a:spcPts val="0"/>
            </a:spcAft>
            <a:buClr>
              <a:schemeClr val="dk1"/>
            </a:buClr>
            <a:buSzPts val="1100"/>
            <a:buFont typeface="Calibri"/>
            <a:buNone/>
          </a:pPr>
          <a:r>
            <a:t/>
          </a:r>
          <a:endParaRPr sz="1100">
            <a:solidFill>
              <a:schemeClr val="dk1"/>
            </a:solidFill>
            <a:latin typeface="Calibri"/>
            <a:ea typeface="Calibri"/>
            <a:cs typeface="Calibri"/>
            <a:sym typeface="Calibri"/>
          </a:endParaRPr>
        </a:p>
        <a:p>
          <a:pPr indent="0" lvl="0" marL="0" rtl="0" algn="l">
            <a:lnSpc>
              <a:spcPct val="115000"/>
            </a:lnSpc>
            <a:spcBef>
              <a:spcPts val="0"/>
            </a:spcBef>
            <a:spcAft>
              <a:spcPts val="0"/>
            </a:spcAft>
            <a:buNone/>
          </a:pPr>
          <a:r>
            <a:rPr lang="en-US" sz="1100"/>
            <a:t>E coli tea - echinacea, althea, Astragalus and Solidago, juniper and olive leaf </a:t>
          </a:r>
          <a:endParaRPr sz="1100">
            <a:solidFill>
              <a:schemeClr val="dk1"/>
            </a:solidFill>
            <a:latin typeface="Calibri"/>
            <a:ea typeface="Calibri"/>
            <a:cs typeface="Calibri"/>
            <a:sym typeface="Calibri"/>
          </a:endParaRPr>
        </a:p>
        <a:p>
          <a:pPr indent="0" lvl="0" marL="0" rtl="0" algn="l">
            <a:spcBef>
              <a:spcPts val="0"/>
            </a:spcBef>
            <a:spcAft>
              <a:spcPts val="0"/>
            </a:spcAft>
            <a:buSzPts val="1100"/>
            <a:buFont typeface="Arial"/>
            <a:buNone/>
          </a:pPr>
          <a:r>
            <a:t/>
          </a:r>
          <a:endParaRPr sz="1100"/>
        </a:p>
        <a:p>
          <a:pPr indent="0" lvl="0" marL="0" rtl="0" algn="l">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1st trimester tea/ 2nd trimester - Nettles, alfalfa, horsetail, Tulsi, chamomille (nausea) and Red raspberry (10%/20%), optional Meadosweet (nausea)</a:t>
          </a:r>
          <a:endParaRPr sz="1100">
            <a:solidFill>
              <a:schemeClr val="dk1"/>
            </a:solidFill>
            <a:latin typeface="Calibri"/>
            <a:ea typeface="Calibri"/>
            <a:cs typeface="Calibri"/>
            <a:sym typeface="Calibri"/>
          </a:endParaRPr>
        </a:p>
        <a:p>
          <a:pPr indent="0" lvl="0" marL="0" rtl="0" algn="l">
            <a:spcBef>
              <a:spcPts val="0"/>
            </a:spcBef>
            <a:spcAft>
              <a:spcPts val="0"/>
            </a:spcAft>
            <a:buClr>
              <a:schemeClr val="dk1"/>
            </a:buClr>
            <a:buSzPts val="1100"/>
            <a:buFont typeface="Calibri"/>
            <a:buNone/>
          </a:pPr>
          <a:r>
            <a:t/>
          </a:r>
          <a:endParaRPr sz="1100">
            <a:solidFill>
              <a:schemeClr val="dk1"/>
            </a:solidFill>
            <a:latin typeface="Calibri"/>
            <a:ea typeface="Calibri"/>
            <a:cs typeface="Calibri"/>
            <a:sym typeface="Calibri"/>
          </a:endParaRPr>
        </a:p>
        <a:p>
          <a:pPr indent="0" lvl="0" marL="0" rtl="0" algn="l">
            <a:spcBef>
              <a:spcPts val="0"/>
            </a:spcBef>
            <a:spcAft>
              <a:spcPts val="0"/>
            </a:spcAft>
            <a:buClr>
              <a:schemeClr val="dk1"/>
            </a:buClr>
            <a:buSzPts val="1100"/>
            <a:buFont typeface="Calibri"/>
            <a:buNone/>
          </a:pPr>
          <a:r>
            <a:rPr lang="en-US" sz="1100"/>
            <a:t>Post partum tea - Red rasberry, argimony and horse tail (prolapse/urinary support), tilia, calendula (liver/sun/healing), Tulsi</a:t>
          </a:r>
          <a:r>
            <a:rPr lang="en-US" sz="1100">
              <a:solidFill>
                <a:schemeClr val="dk1"/>
              </a:solidFill>
              <a:latin typeface="Calibri"/>
              <a:ea typeface="Calibri"/>
              <a:cs typeface="Calibri"/>
              <a:sym typeface="Calibri"/>
            </a:rPr>
            <a:t>, nettle/alfafa</a:t>
          </a:r>
          <a:endParaRPr sz="1100"/>
        </a:p>
        <a:p>
          <a:pPr indent="0" lvl="0" marL="0" rtl="0" algn="l">
            <a:spcBef>
              <a:spcPts val="0"/>
            </a:spcBef>
            <a:spcAft>
              <a:spcPts val="0"/>
            </a:spcAft>
            <a:buSzPts val="1100"/>
            <a:buFont typeface="Arial"/>
            <a:buNone/>
          </a:pPr>
          <a:r>
            <a:t/>
          </a:r>
          <a:endParaRPr sz="1100"/>
        </a:p>
        <a:p>
          <a:pPr indent="0" lvl="0" marL="0" rtl="0" algn="l">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foot fungus tea - calendula (healing), yarrow (anti fungal), oregon grape root (anti fungal), oat (hydrating), horestail (anti fungal).</a:t>
          </a:r>
          <a:endParaRPr sz="1100">
            <a:solidFill>
              <a:schemeClr val="dk1"/>
            </a:solidFill>
            <a:latin typeface="Calibri"/>
            <a:ea typeface="Calibri"/>
            <a:cs typeface="Calibri"/>
            <a:sym typeface="Calibri"/>
          </a:endParaRPr>
        </a:p>
        <a:p>
          <a:pPr indent="0" lvl="0" marL="0" rtl="0" algn="l">
            <a:spcBef>
              <a:spcPts val="0"/>
            </a:spcBef>
            <a:spcAft>
              <a:spcPts val="0"/>
            </a:spcAft>
            <a:buClr>
              <a:schemeClr val="dk1"/>
            </a:buClr>
            <a:buSzPts val="1100"/>
            <a:buFont typeface="Calibri"/>
            <a:buNone/>
          </a:pPr>
          <a:r>
            <a:t/>
          </a:r>
          <a:endParaRPr sz="1100">
            <a:solidFill>
              <a:schemeClr val="dk1"/>
            </a:solidFill>
            <a:latin typeface="Calibri"/>
            <a:ea typeface="Calibri"/>
            <a:cs typeface="Calibri"/>
            <a:sym typeface="Calibri"/>
          </a:endParaRPr>
        </a:p>
        <a:p>
          <a:pPr indent="0" lvl="0" marL="0" rtl="0" algn="l">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Extracellular Matrix Tea: 1 part: horestail, cleavers, calendula, labrador tea, gotu kola, birch leaves, lemon balm (2)</a:t>
          </a:r>
          <a:endParaRPr sz="1100">
            <a:solidFill>
              <a:schemeClr val="dk1"/>
            </a:solidFill>
            <a:latin typeface="Calibri"/>
            <a:ea typeface="Calibri"/>
            <a:cs typeface="Calibri"/>
            <a:sym typeface="Calibri"/>
          </a:endParaRPr>
        </a:p>
        <a:p>
          <a:pPr indent="0" lvl="0" marL="0" rtl="0" algn="l">
            <a:spcBef>
              <a:spcPts val="0"/>
            </a:spcBef>
            <a:spcAft>
              <a:spcPts val="0"/>
            </a:spcAft>
            <a:buClr>
              <a:schemeClr val="dk1"/>
            </a:buClr>
            <a:buSzPts val="1100"/>
            <a:buFont typeface="Calibri"/>
            <a:buNone/>
          </a:pPr>
          <a:r>
            <a:t/>
          </a:r>
          <a:endParaRPr sz="1100"/>
        </a:p>
        <a:p>
          <a:pPr indent="0" lvl="0" marL="0" rtl="0" algn="l">
            <a:spcBef>
              <a:spcPts val="0"/>
            </a:spcBef>
            <a:spcAft>
              <a:spcPts val="0"/>
            </a:spcAft>
            <a:buClr>
              <a:schemeClr val="dk1"/>
            </a:buClr>
            <a:buSzPts val="1100"/>
            <a:buFont typeface="Calibri"/>
            <a:buNone/>
          </a:pPr>
          <a:r>
            <a:rPr lang="en-US" sz="1100"/>
            <a:t>Blood buildling/liver root decotion - burdock, rumex, dandelion root, chicory, astraglus, fennel</a:t>
          </a:r>
          <a:endParaRPr sz="1100"/>
        </a:p>
        <a:p>
          <a:pPr indent="0" lvl="0" marL="0" rtl="0" algn="l">
            <a:spcBef>
              <a:spcPts val="0"/>
            </a:spcBef>
            <a:spcAft>
              <a:spcPts val="0"/>
            </a:spcAft>
            <a:buClr>
              <a:schemeClr val="dk1"/>
            </a:buClr>
            <a:buSzPts val="1100"/>
            <a:buFont typeface="Calibri"/>
            <a:buNone/>
          </a:pPr>
          <a:r>
            <a:t/>
          </a:r>
          <a:endParaRPr sz="1100"/>
        </a:p>
        <a:p>
          <a:pPr indent="0" lvl="0" marL="0" rtl="0" algn="l">
            <a:spcBef>
              <a:spcPts val="0"/>
            </a:spcBef>
            <a:spcAft>
              <a:spcPts val="0"/>
            </a:spcAft>
            <a:buClr>
              <a:schemeClr val="dk1"/>
            </a:buClr>
            <a:buSzPts val="1100"/>
            <a:buFont typeface="Calibri"/>
            <a:buNone/>
          </a:pPr>
          <a:r>
            <a:rPr lang="en-US" sz="1100"/>
            <a:t>Broth trial  - astragalus, ashwaganda, shitakte, sea weed, dandelion root, fennel seeds, burdock</a:t>
          </a:r>
          <a:endParaRPr sz="1100"/>
        </a:p>
        <a:p>
          <a:pPr indent="0" lvl="0" marL="0" rtl="0" algn="l">
            <a:spcBef>
              <a:spcPts val="0"/>
            </a:spcBef>
            <a:spcAft>
              <a:spcPts val="0"/>
            </a:spcAft>
            <a:buSzPts val="1100"/>
            <a:buFont typeface="Arial"/>
            <a:buNone/>
          </a:pPr>
          <a:r>
            <a:t/>
          </a:r>
          <a:endParaRPr sz="1100"/>
        </a:p>
        <a:p>
          <a:pPr indent="0" lvl="0" marL="0" rtl="0" algn="l">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My fertility tea humors - rose, claendula, mallow...</a:t>
          </a:r>
          <a:endParaRPr sz="1100"/>
        </a:p>
      </xdr:txBody>
    </xdr:sp>
    <xdr:clientData fLocksWithSheet="0"/>
  </xdr:oneCellAnchor>
  <xdr:oneCellAnchor>
    <xdr:from>
      <xdr:col>9</xdr:col>
      <xdr:colOff>371475</xdr:colOff>
      <xdr:row>9</xdr:row>
      <xdr:rowOff>0</xdr:rowOff>
    </xdr:from>
    <xdr:ext cx="352425" cy="323850"/>
    <xdr:sp>
      <xdr:nvSpPr>
        <xdr:cNvPr id="6" name="Shape 6"/>
        <xdr:cNvSpPr txBox="1"/>
      </xdr:nvSpPr>
      <xdr:spPr>
        <a:xfrm>
          <a:off x="5174550" y="3622838"/>
          <a:ext cx="342900"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10</xdr:col>
      <xdr:colOff>504825</xdr:colOff>
      <xdr:row>24</xdr:row>
      <xdr:rowOff>104775</xdr:rowOff>
    </xdr:from>
    <xdr:ext cx="3228975" cy="2038350"/>
    <xdr:sp>
      <xdr:nvSpPr>
        <xdr:cNvPr id="7" name="Shape 7"/>
        <xdr:cNvSpPr txBox="1"/>
      </xdr:nvSpPr>
      <xdr:spPr>
        <a:xfrm>
          <a:off x="3736275" y="2765588"/>
          <a:ext cx="3219450" cy="202882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Perservaties to creams - often don’t need them for at home, resins (balsam etc) is good but can firm it up, or essential oils (rosemary is a resin and oil), or vitmain C or vitmain E. </a:t>
          </a:r>
          <a:endParaRPr sz="1100"/>
        </a:p>
        <a:p>
          <a:pPr indent="0" lvl="0" marL="0" rtl="0" algn="l">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 - Rosemary gladstar 2022</a:t>
          </a:r>
          <a:endParaRPr sz="1100"/>
        </a:p>
      </xdr:txBody>
    </xdr:sp>
    <xdr:clientData fLocksWithSheet="0"/>
  </xdr:oneCellAnchor>
  <xdr:oneCellAnchor>
    <xdr:from>
      <xdr:col>10</xdr:col>
      <xdr:colOff>495300</xdr:colOff>
      <xdr:row>13</xdr:row>
      <xdr:rowOff>9525</xdr:rowOff>
    </xdr:from>
    <xdr:ext cx="3638550" cy="2076450"/>
    <xdr:sp>
      <xdr:nvSpPr>
        <xdr:cNvPr id="8" name="Shape 8"/>
        <xdr:cNvSpPr txBox="1"/>
      </xdr:nvSpPr>
      <xdr:spPr>
        <a:xfrm>
          <a:off x="3531488" y="2744633"/>
          <a:ext cx="3629025" cy="207073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Suppositories</a:t>
          </a:r>
          <a:endParaRPr sz="1100"/>
        </a:p>
        <a:p>
          <a:pPr indent="0" lvl="0" marL="0" rtl="0" algn="l">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Healing (week 1 and 3) - add 10 drops of healing tincture (calendula/gotukola/licorice), 1 vitamin a capsule,   to 1 tablespoon of coconut oil, mix, form and freeze, insert at night</a:t>
          </a:r>
          <a:endParaRPr sz="1100"/>
        </a:p>
        <a:p>
          <a:pPr indent="0" lvl="0" marL="0" rtl="0" algn="l">
            <a:spcBef>
              <a:spcPts val="0"/>
            </a:spcBef>
            <a:spcAft>
              <a:spcPts val="0"/>
            </a:spcAft>
            <a:buSzPts val="1100"/>
            <a:buFont typeface="Arial"/>
            <a:buNone/>
          </a:pPr>
          <a:r>
            <a:t/>
          </a:r>
          <a:endParaRPr sz="1100"/>
        </a:p>
        <a:p>
          <a:pPr indent="0" lvl="0" marL="0" rtl="0" algn="l">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Anti HPV/immune (Week 2 and 4) - coconut oil, thuja/lomatium/oregon grape/licorice, hoemopathic HPV 200c </a:t>
          </a:r>
          <a:endParaRPr sz="11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22.78"/>
    <col customWidth="1" min="2" max="4" width="16.78"/>
    <col customWidth="1" min="5" max="5" width="20.11"/>
    <col customWidth="1" min="6" max="25" width="9.0"/>
  </cols>
  <sheetData>
    <row r="1">
      <c r="A1" s="1" t="s">
        <v>0</v>
      </c>
      <c r="B1" s="1" t="s">
        <v>1</v>
      </c>
      <c r="C1" s="1" t="s">
        <v>2</v>
      </c>
      <c r="D1" s="1" t="s">
        <v>3</v>
      </c>
      <c r="E1" s="1" t="s">
        <v>4</v>
      </c>
    </row>
    <row r="2">
      <c r="A2" s="2" t="s">
        <v>5</v>
      </c>
      <c r="B2" s="2" t="s">
        <v>6</v>
      </c>
      <c r="E2" s="2" t="s">
        <v>7</v>
      </c>
    </row>
    <row r="3">
      <c r="A3" s="2" t="s">
        <v>8</v>
      </c>
      <c r="B3" s="2" t="s">
        <v>9</v>
      </c>
      <c r="E3" s="2" t="s">
        <v>10</v>
      </c>
    </row>
    <row r="4">
      <c r="A4" s="2" t="s">
        <v>11</v>
      </c>
      <c r="B4" s="2">
        <v>25.0</v>
      </c>
    </row>
    <row r="5">
      <c r="A5" s="2" t="s">
        <v>12</v>
      </c>
      <c r="B5" s="2">
        <v>65.0</v>
      </c>
    </row>
    <row r="6">
      <c r="A6" s="2" t="s">
        <v>13</v>
      </c>
      <c r="B6" s="2">
        <v>40.0</v>
      </c>
    </row>
    <row r="7">
      <c r="A7" s="2" t="s">
        <v>14</v>
      </c>
    </row>
    <row r="8">
      <c r="A8" s="2" t="s">
        <v>15</v>
      </c>
      <c r="B8" s="2">
        <v>45.0</v>
      </c>
    </row>
    <row r="9">
      <c r="A9" s="2" t="s">
        <v>16</v>
      </c>
      <c r="B9" s="2" t="s">
        <v>17</v>
      </c>
    </row>
    <row r="10">
      <c r="A10" s="3" t="s">
        <v>18</v>
      </c>
      <c r="B10" s="3" t="s">
        <v>19</v>
      </c>
    </row>
    <row r="11">
      <c r="A11" s="2" t="s">
        <v>20</v>
      </c>
      <c r="B11" s="2">
        <v>50.0</v>
      </c>
    </row>
    <row r="12">
      <c r="A12" s="2" t="s">
        <v>21</v>
      </c>
      <c r="B12" s="2">
        <v>60.0</v>
      </c>
      <c r="E12" s="2" t="s">
        <v>22</v>
      </c>
    </row>
    <row r="13">
      <c r="A13" s="3" t="s">
        <v>23</v>
      </c>
      <c r="B13" s="3">
        <v>65.0</v>
      </c>
    </row>
    <row r="14">
      <c r="A14" s="2" t="s">
        <v>24</v>
      </c>
      <c r="B14" s="2">
        <v>60.0</v>
      </c>
    </row>
    <row r="15">
      <c r="A15" s="2" t="s">
        <v>25</v>
      </c>
      <c r="B15" s="2">
        <v>45.0</v>
      </c>
      <c r="C15" s="2" t="s">
        <v>26</v>
      </c>
      <c r="D15" s="2"/>
      <c r="E15" s="2"/>
      <c r="F15" s="2"/>
      <c r="G15" s="2"/>
      <c r="H15" s="2"/>
      <c r="I15" s="2"/>
      <c r="J15" s="2"/>
      <c r="K15" s="2"/>
      <c r="L15" s="2"/>
      <c r="M15" s="2"/>
      <c r="N15" s="2"/>
      <c r="O15" s="2"/>
      <c r="P15" s="2"/>
      <c r="Q15" s="2"/>
      <c r="R15" s="2"/>
      <c r="S15" s="2"/>
      <c r="T15" s="2"/>
      <c r="U15" s="2"/>
      <c r="V15" s="2"/>
      <c r="W15" s="2"/>
      <c r="X15" s="2"/>
      <c r="Y15" s="2"/>
    </row>
    <row r="16">
      <c r="A16" s="2" t="s">
        <v>27</v>
      </c>
      <c r="B16" s="2">
        <v>60.0</v>
      </c>
      <c r="C16" s="2"/>
      <c r="D16" s="2"/>
      <c r="E16" s="2"/>
      <c r="F16" s="2"/>
      <c r="G16" s="2"/>
      <c r="H16" s="2"/>
      <c r="I16" s="2"/>
      <c r="J16" s="2"/>
      <c r="K16" s="2"/>
      <c r="L16" s="2"/>
      <c r="M16" s="2"/>
      <c r="N16" s="2"/>
      <c r="O16" s="2"/>
      <c r="P16" s="2"/>
      <c r="Q16" s="2"/>
      <c r="R16" s="2"/>
      <c r="S16" s="2"/>
      <c r="T16" s="2"/>
      <c r="U16" s="2"/>
      <c r="V16" s="2"/>
      <c r="W16" s="2"/>
      <c r="X16" s="2"/>
      <c r="Y16" s="2"/>
    </row>
    <row r="17">
      <c r="A17" s="2" t="s">
        <v>28</v>
      </c>
      <c r="B17" s="2">
        <v>50.0</v>
      </c>
      <c r="C17" s="2"/>
      <c r="D17" s="2"/>
      <c r="E17" s="2"/>
      <c r="F17" s="2"/>
      <c r="G17" s="2"/>
      <c r="H17" s="2"/>
      <c r="I17" s="2"/>
      <c r="J17" s="2"/>
      <c r="K17" s="2"/>
      <c r="L17" s="2"/>
      <c r="M17" s="2"/>
      <c r="N17" s="2"/>
      <c r="O17" s="2"/>
      <c r="P17" s="2"/>
      <c r="Q17" s="2"/>
      <c r="R17" s="2"/>
      <c r="S17" s="2"/>
      <c r="T17" s="2"/>
      <c r="U17" s="2"/>
      <c r="V17" s="2"/>
      <c r="W17" s="2"/>
      <c r="X17" s="2"/>
      <c r="Y17" s="2"/>
    </row>
    <row r="18">
      <c r="A18" s="2" t="s">
        <v>29</v>
      </c>
      <c r="B18" s="2">
        <v>50.0</v>
      </c>
    </row>
    <row r="19">
      <c r="A19" s="2" t="s">
        <v>30</v>
      </c>
      <c r="B19" s="2">
        <v>65.0</v>
      </c>
    </row>
    <row r="20">
      <c r="A20" s="2" t="s">
        <v>31</v>
      </c>
      <c r="B20" s="2">
        <v>50.0</v>
      </c>
    </row>
    <row r="21">
      <c r="A21" s="3" t="s">
        <v>32</v>
      </c>
      <c r="B21" s="4">
        <v>0.25</v>
      </c>
    </row>
    <row r="22">
      <c r="A22" s="2" t="s">
        <v>33</v>
      </c>
      <c r="B22" s="2">
        <v>50.0</v>
      </c>
    </row>
    <row r="23">
      <c r="A23" s="2" t="s">
        <v>34</v>
      </c>
      <c r="B23" s="2">
        <v>60.0</v>
      </c>
    </row>
    <row r="24" ht="15.75" customHeight="1">
      <c r="A24" s="2" t="s">
        <v>35</v>
      </c>
      <c r="B24" s="2">
        <v>50.0</v>
      </c>
    </row>
    <row r="25" ht="15.75" customHeight="1">
      <c r="A25" s="2" t="s">
        <v>36</v>
      </c>
      <c r="B25" s="2">
        <v>50.0</v>
      </c>
    </row>
    <row r="26" ht="15.75" customHeight="1">
      <c r="A26" s="2" t="s">
        <v>37</v>
      </c>
      <c r="B26" s="2">
        <v>50.0</v>
      </c>
    </row>
    <row r="27" ht="15.75" customHeight="1">
      <c r="A27" s="2" t="s">
        <v>38</v>
      </c>
      <c r="B27" s="2" t="s">
        <v>39</v>
      </c>
    </row>
    <row r="28" ht="15.75" customHeight="1">
      <c r="A28" s="2" t="s">
        <v>40</v>
      </c>
      <c r="B28" s="2">
        <v>50.0</v>
      </c>
    </row>
    <row r="29" ht="15.75" customHeight="1">
      <c r="A29" s="2" t="s">
        <v>41</v>
      </c>
      <c r="B29" s="2">
        <v>40.0</v>
      </c>
    </row>
    <row r="30" ht="15.75" customHeight="1">
      <c r="A30" s="2" t="s">
        <v>42</v>
      </c>
      <c r="B30" s="2" t="s">
        <v>43</v>
      </c>
    </row>
    <row r="31" ht="15.75" customHeight="1">
      <c r="A31" s="2" t="s">
        <v>44</v>
      </c>
      <c r="B31" s="2">
        <v>50.0</v>
      </c>
      <c r="E31" s="2" t="s">
        <v>45</v>
      </c>
    </row>
    <row r="32" ht="15.75" customHeight="1">
      <c r="A32" s="2" t="s">
        <v>46</v>
      </c>
      <c r="B32" s="5">
        <v>50.0</v>
      </c>
    </row>
    <row r="33" ht="15.75" customHeight="1">
      <c r="A33" s="3" t="s">
        <v>47</v>
      </c>
      <c r="B33" s="3">
        <v>60.0</v>
      </c>
      <c r="C33" s="2"/>
      <c r="D33" s="2"/>
    </row>
    <row r="34" ht="15.75" customHeight="1">
      <c r="A34" s="3" t="s">
        <v>48</v>
      </c>
      <c r="B34" s="3" t="s">
        <v>49</v>
      </c>
      <c r="C34" s="2"/>
      <c r="D34" s="2"/>
    </row>
    <row r="35" ht="15.75" customHeight="1">
      <c r="A35" s="2" t="s">
        <v>50</v>
      </c>
      <c r="B35" s="2">
        <v>45.0</v>
      </c>
      <c r="C35" s="2" t="s">
        <v>51</v>
      </c>
      <c r="D35" s="2" t="s">
        <v>52</v>
      </c>
    </row>
    <row r="36" ht="15.75" customHeight="1">
      <c r="A36" s="2" t="s">
        <v>53</v>
      </c>
      <c r="B36" s="2">
        <v>60.0</v>
      </c>
      <c r="C36" s="6" t="s">
        <v>54</v>
      </c>
    </row>
    <row r="37" ht="15.75" customHeight="1">
      <c r="A37" s="3" t="s">
        <v>55</v>
      </c>
      <c r="B37" s="3">
        <v>60.0</v>
      </c>
    </row>
    <row r="38" ht="15.75" customHeight="1">
      <c r="A38" s="2" t="s">
        <v>56</v>
      </c>
      <c r="B38" s="2">
        <v>35.0</v>
      </c>
    </row>
    <row r="39" ht="15.75" customHeight="1">
      <c r="A39" s="2" t="s">
        <v>57</v>
      </c>
      <c r="B39" s="2" t="s">
        <v>58</v>
      </c>
    </row>
    <row r="40" ht="15.75" customHeight="1">
      <c r="A40" s="3" t="s">
        <v>59</v>
      </c>
      <c r="B40" s="3">
        <v>45.0</v>
      </c>
    </row>
    <row r="41" ht="15.75" customHeight="1">
      <c r="A41" s="2" t="s">
        <v>60</v>
      </c>
      <c r="B41" s="2">
        <v>60.0</v>
      </c>
    </row>
    <row r="42" ht="15.75" customHeight="1">
      <c r="A42" s="2" t="s">
        <v>61</v>
      </c>
      <c r="B42" s="2">
        <v>60.0</v>
      </c>
    </row>
    <row r="43" ht="15.75" customHeight="1">
      <c r="A43" s="2" t="s">
        <v>62</v>
      </c>
      <c r="B43" s="2">
        <v>40.0</v>
      </c>
    </row>
    <row r="44" ht="15.75" customHeight="1">
      <c r="A44" s="2" t="s">
        <v>63</v>
      </c>
      <c r="B44" s="2">
        <v>40.0</v>
      </c>
      <c r="D44" s="2" t="s">
        <v>64</v>
      </c>
    </row>
    <row r="45" ht="15.75" customHeight="1">
      <c r="A45" s="3" t="s">
        <v>65</v>
      </c>
      <c r="B45" s="3">
        <v>50.0</v>
      </c>
    </row>
    <row r="46" ht="15.75" customHeight="1">
      <c r="A46" s="2" t="s">
        <v>66</v>
      </c>
      <c r="B46" s="2">
        <v>25.0</v>
      </c>
    </row>
    <row r="47" ht="15.75" customHeight="1">
      <c r="A47" s="2" t="s">
        <v>67</v>
      </c>
      <c r="B47" s="2">
        <v>65.0</v>
      </c>
    </row>
    <row r="48" ht="15.75" customHeight="1">
      <c r="A48" s="2" t="s">
        <v>68</v>
      </c>
      <c r="B48" s="2">
        <v>45.0</v>
      </c>
      <c r="C48" s="2" t="s">
        <v>69</v>
      </c>
    </row>
    <row r="49" ht="15.75" customHeight="1">
      <c r="A49" s="2" t="s">
        <v>70</v>
      </c>
      <c r="B49" s="2">
        <v>50.0</v>
      </c>
    </row>
    <row r="50" ht="15.75" customHeight="1">
      <c r="A50" s="2" t="s">
        <v>71</v>
      </c>
      <c r="B50" s="2">
        <v>50.0</v>
      </c>
    </row>
    <row r="51" ht="15.75" customHeight="1">
      <c r="A51" s="2" t="s">
        <v>72</v>
      </c>
      <c r="B51" s="2" t="s">
        <v>73</v>
      </c>
    </row>
    <row r="52" ht="15.75" customHeight="1">
      <c r="A52" s="2" t="s">
        <v>74</v>
      </c>
      <c r="B52" s="2">
        <v>50.0</v>
      </c>
    </row>
    <row r="53" ht="15.75" customHeight="1">
      <c r="A53" s="2" t="s">
        <v>75</v>
      </c>
      <c r="B53" s="2">
        <v>50.0</v>
      </c>
      <c r="E53" s="2" t="s">
        <v>76</v>
      </c>
    </row>
    <row r="54" ht="15.75" customHeight="1">
      <c r="A54" s="2" t="s">
        <v>77</v>
      </c>
      <c r="B54" s="2" t="s">
        <v>78</v>
      </c>
    </row>
    <row r="55" ht="15.75" customHeight="1">
      <c r="A55" s="2" t="s">
        <v>79</v>
      </c>
      <c r="B55" s="2">
        <v>45.0</v>
      </c>
    </row>
    <row r="56" ht="15.75" customHeight="1">
      <c r="A56" s="2" t="s">
        <v>80</v>
      </c>
      <c r="B56" s="2">
        <v>50.0</v>
      </c>
    </row>
    <row r="57" ht="15.75" customHeight="1">
      <c r="A57" s="3" t="s">
        <v>81</v>
      </c>
      <c r="B57" s="2">
        <v>50.0</v>
      </c>
    </row>
    <row r="58" ht="15.75" customHeight="1">
      <c r="A58" s="2" t="s">
        <v>82</v>
      </c>
      <c r="B58" s="2">
        <v>50.0</v>
      </c>
      <c r="C58" s="1"/>
      <c r="D58" s="1"/>
      <c r="E58" s="1"/>
      <c r="F58" s="1"/>
      <c r="G58" s="1"/>
      <c r="H58" s="1"/>
      <c r="I58" s="1"/>
      <c r="J58" s="1"/>
      <c r="K58" s="1"/>
      <c r="L58" s="1"/>
      <c r="M58" s="1"/>
      <c r="N58" s="1"/>
      <c r="O58" s="1"/>
      <c r="P58" s="1"/>
      <c r="Q58" s="1"/>
      <c r="R58" s="1"/>
      <c r="S58" s="1"/>
      <c r="T58" s="1"/>
      <c r="U58" s="1"/>
      <c r="V58" s="1"/>
      <c r="W58" s="1"/>
      <c r="X58" s="1"/>
      <c r="Y58" s="1"/>
    </row>
    <row r="59" ht="15.75" customHeight="1">
      <c r="A59" s="2" t="s">
        <v>83</v>
      </c>
      <c r="B59" s="2">
        <v>60.0</v>
      </c>
    </row>
    <row r="60" ht="15.75" customHeight="1">
      <c r="A60" s="3" t="s">
        <v>84</v>
      </c>
      <c r="B60" s="3">
        <v>25.0</v>
      </c>
    </row>
    <row r="61" ht="15.75" customHeight="1">
      <c r="A61" s="2" t="s">
        <v>85</v>
      </c>
      <c r="B61" s="2">
        <v>75.0</v>
      </c>
    </row>
    <row r="62" ht="15.75" customHeight="1">
      <c r="A62" s="2" t="s">
        <v>86</v>
      </c>
      <c r="B62" s="2">
        <v>50.0</v>
      </c>
    </row>
    <row r="63" ht="15.75" customHeight="1">
      <c r="A63" s="2" t="s">
        <v>87</v>
      </c>
      <c r="B63" s="2">
        <v>50.0</v>
      </c>
    </row>
    <row r="64" ht="15.75" customHeight="1">
      <c r="A64" s="2" t="s">
        <v>88</v>
      </c>
      <c r="B64" s="2">
        <v>60.0</v>
      </c>
      <c r="D64" s="2" t="s">
        <v>89</v>
      </c>
    </row>
    <row r="65" ht="15.75" customHeight="1">
      <c r="A65" s="2" t="s">
        <v>90</v>
      </c>
      <c r="B65" s="5" t="s">
        <v>91</v>
      </c>
      <c r="D65" s="2" t="s">
        <v>92</v>
      </c>
    </row>
    <row r="66" ht="15.75" customHeight="1">
      <c r="A66" s="2" t="s">
        <v>93</v>
      </c>
      <c r="B66" s="2">
        <v>50.0</v>
      </c>
    </row>
    <row r="67" ht="15.75" customHeight="1">
      <c r="A67" s="2" t="s">
        <v>94</v>
      </c>
      <c r="B67" s="3" t="s">
        <v>95</v>
      </c>
    </row>
    <row r="68" ht="15.75" customHeight="1">
      <c r="A68" s="2" t="s">
        <v>96</v>
      </c>
      <c r="B68" s="2" t="s">
        <v>97</v>
      </c>
      <c r="C68" s="2" t="s">
        <v>98</v>
      </c>
      <c r="E68" s="7" t="s">
        <v>99</v>
      </c>
    </row>
    <row r="69" ht="15.75" customHeight="1">
      <c r="A69" s="2" t="s">
        <v>100</v>
      </c>
      <c r="B69" s="8">
        <v>0.25</v>
      </c>
      <c r="C69" s="5" t="s">
        <v>101</v>
      </c>
      <c r="E69" s="7"/>
    </row>
    <row r="70" ht="15.75" customHeight="1">
      <c r="A70" s="3" t="s">
        <v>102</v>
      </c>
      <c r="B70" s="5">
        <v>45.0</v>
      </c>
    </row>
    <row r="71" ht="15.75" customHeight="1">
      <c r="A71" s="3" t="s">
        <v>103</v>
      </c>
      <c r="B71" s="5">
        <v>45.0</v>
      </c>
    </row>
    <row r="72" ht="15.75" customHeight="1">
      <c r="A72" s="2" t="s">
        <v>104</v>
      </c>
    </row>
    <row r="73" ht="15.75" customHeight="1">
      <c r="A73" s="2" t="s">
        <v>105</v>
      </c>
      <c r="B73" s="3" t="s">
        <v>106</v>
      </c>
    </row>
    <row r="74" ht="15.75" customHeight="1">
      <c r="A74" s="3" t="s">
        <v>107</v>
      </c>
      <c r="B74" s="3">
        <v>25.0</v>
      </c>
      <c r="C74" s="2"/>
    </row>
    <row r="75" ht="15.75" customHeight="1">
      <c r="A75" s="2" t="s">
        <v>108</v>
      </c>
      <c r="B75" s="2">
        <v>50.0</v>
      </c>
      <c r="C75" s="2" t="s">
        <v>51</v>
      </c>
    </row>
    <row r="76" ht="15.75" customHeight="1">
      <c r="A76" s="2" t="s">
        <v>109</v>
      </c>
      <c r="B76" s="2" t="s">
        <v>73</v>
      </c>
    </row>
    <row r="77" ht="15.75" customHeight="1">
      <c r="A77" s="2" t="s">
        <v>110</v>
      </c>
      <c r="B77" s="2" t="s">
        <v>17</v>
      </c>
    </row>
    <row r="78" ht="15.75" customHeight="1">
      <c r="A78" s="2" t="s">
        <v>111</v>
      </c>
      <c r="B78" s="2" t="s">
        <v>112</v>
      </c>
    </row>
    <row r="79" ht="15.75" customHeight="1">
      <c r="A79" s="3" t="s">
        <v>113</v>
      </c>
      <c r="B79" s="2"/>
    </row>
    <row r="80" ht="15.75" customHeight="1">
      <c r="A80" s="3" t="s">
        <v>114</v>
      </c>
      <c r="B80" s="3">
        <v>50.0</v>
      </c>
    </row>
    <row r="81" ht="15.75" customHeight="1">
      <c r="A81" s="2" t="s">
        <v>115</v>
      </c>
      <c r="B81" s="2">
        <v>50.0</v>
      </c>
    </row>
    <row r="82" ht="15.75" customHeight="1">
      <c r="A82" s="2" t="s">
        <v>116</v>
      </c>
      <c r="B82" s="2" t="s">
        <v>117</v>
      </c>
    </row>
    <row r="83" ht="15.75" customHeight="1">
      <c r="A83" s="2" t="s">
        <v>118</v>
      </c>
      <c r="B83" s="2" t="s">
        <v>119</v>
      </c>
    </row>
    <row r="84" ht="15.75" customHeight="1">
      <c r="A84" s="2" t="s">
        <v>120</v>
      </c>
      <c r="B84" s="2">
        <v>25.0</v>
      </c>
    </row>
    <row r="85" ht="15.75" customHeight="1">
      <c r="A85" s="2" t="s">
        <v>121</v>
      </c>
      <c r="B85" s="2">
        <v>25.0</v>
      </c>
    </row>
    <row r="86" ht="15.75" customHeight="1">
      <c r="A86" s="3" t="s">
        <v>122</v>
      </c>
      <c r="B86" s="3">
        <v>50.0</v>
      </c>
      <c r="C86" s="5" t="s">
        <v>123</v>
      </c>
    </row>
    <row r="87" ht="15.75" customHeight="1">
      <c r="A87" s="2" t="s">
        <v>124</v>
      </c>
      <c r="B87" s="2" t="s">
        <v>125</v>
      </c>
      <c r="E87" s="7" t="s">
        <v>126</v>
      </c>
    </row>
    <row r="88" ht="15.75" customHeight="1">
      <c r="A88" s="2" t="s">
        <v>127</v>
      </c>
      <c r="B88" s="3" t="s">
        <v>128</v>
      </c>
      <c r="C88" s="2" t="s">
        <v>129</v>
      </c>
      <c r="E88" s="7"/>
    </row>
    <row r="89" ht="15.75" customHeight="1">
      <c r="A89" s="2" t="s">
        <v>130</v>
      </c>
      <c r="B89" s="3">
        <v>50.0</v>
      </c>
      <c r="C89" s="2" t="s">
        <v>131</v>
      </c>
    </row>
    <row r="90" ht="15.75" customHeight="1">
      <c r="A90" s="2" t="s">
        <v>132</v>
      </c>
      <c r="B90" s="2">
        <v>50.0</v>
      </c>
      <c r="C90" s="2" t="s">
        <v>131</v>
      </c>
    </row>
    <row r="91" ht="15.75" customHeight="1">
      <c r="A91" s="2" t="s">
        <v>133</v>
      </c>
      <c r="B91" s="2" t="s">
        <v>134</v>
      </c>
      <c r="E91" s="2" t="s">
        <v>135</v>
      </c>
    </row>
    <row r="92" ht="15.75" customHeight="1">
      <c r="A92" s="2" t="s">
        <v>136</v>
      </c>
      <c r="B92" s="2">
        <v>65.0</v>
      </c>
    </row>
    <row r="93" ht="15.75" customHeight="1">
      <c r="A93" s="2" t="s">
        <v>137</v>
      </c>
      <c r="B93" s="2">
        <v>50.0</v>
      </c>
    </row>
    <row r="94" ht="15.75" customHeight="1">
      <c r="A94" s="2" t="s">
        <v>138</v>
      </c>
      <c r="B94" s="2">
        <v>60.0</v>
      </c>
      <c r="F94" s="2" t="s">
        <v>139</v>
      </c>
    </row>
    <row r="95" ht="15.75" customHeight="1">
      <c r="A95" s="2" t="s">
        <v>140</v>
      </c>
      <c r="B95" s="2">
        <v>50.0</v>
      </c>
    </row>
    <row r="96" ht="15.75" customHeight="1">
      <c r="A96" s="2" t="s">
        <v>141</v>
      </c>
      <c r="B96" s="2">
        <v>75.0</v>
      </c>
    </row>
    <row r="97" ht="15.75" customHeight="1">
      <c r="A97" s="2" t="s">
        <v>142</v>
      </c>
    </row>
    <row r="98" ht="15.75" customHeight="1">
      <c r="A98" s="2" t="s">
        <v>143</v>
      </c>
      <c r="B98" s="2">
        <v>45.0</v>
      </c>
      <c r="C98" s="2" t="s">
        <v>131</v>
      </c>
    </row>
    <row r="99" ht="15.75" customHeight="1">
      <c r="A99" s="3" t="s">
        <v>144</v>
      </c>
      <c r="B99" s="3" t="s">
        <v>145</v>
      </c>
    </row>
    <row r="100" ht="15.75" customHeight="1">
      <c r="A100" s="2" t="s">
        <v>146</v>
      </c>
      <c r="B100" s="2">
        <v>50.0</v>
      </c>
    </row>
    <row r="101" ht="15.75" customHeight="1">
      <c r="A101" s="2" t="s">
        <v>147</v>
      </c>
      <c r="B101" s="2">
        <v>50.0</v>
      </c>
    </row>
    <row r="102" ht="15.75" customHeight="1">
      <c r="A102" s="3" t="s">
        <v>148</v>
      </c>
      <c r="B102" s="3" t="s">
        <v>149</v>
      </c>
    </row>
    <row r="103" ht="15.75" customHeight="1">
      <c r="A103" s="3" t="s">
        <v>150</v>
      </c>
      <c r="B103" s="3">
        <v>50.0</v>
      </c>
    </row>
    <row r="104" ht="15.75" customHeight="1">
      <c r="A104" s="3" t="s">
        <v>151</v>
      </c>
      <c r="B104" s="3">
        <v>45.0</v>
      </c>
    </row>
    <row r="105" ht="15.75" customHeight="1">
      <c r="A105" s="2" t="s">
        <v>152</v>
      </c>
      <c r="B105" s="2">
        <v>25.0</v>
      </c>
    </row>
    <row r="106" ht="15.75" customHeight="1">
      <c r="A106" s="2" t="s">
        <v>153</v>
      </c>
      <c r="B106" s="2">
        <v>50.0</v>
      </c>
    </row>
    <row r="107" ht="15.75" customHeight="1">
      <c r="A107" s="2" t="s">
        <v>154</v>
      </c>
      <c r="B107" s="2" t="s">
        <v>117</v>
      </c>
      <c r="C107" s="2" t="s">
        <v>155</v>
      </c>
    </row>
    <row r="108" ht="15.75" customHeight="1">
      <c r="A108" s="2" t="s">
        <v>156</v>
      </c>
      <c r="B108" s="2">
        <v>40.0</v>
      </c>
    </row>
    <row r="109" ht="15.75" customHeight="1">
      <c r="A109" s="2" t="s">
        <v>157</v>
      </c>
      <c r="B109" s="2">
        <v>50.0</v>
      </c>
    </row>
    <row r="110" ht="15.75" customHeight="1">
      <c r="A110" s="2" t="s">
        <v>158</v>
      </c>
      <c r="B110" s="2">
        <v>50.0</v>
      </c>
    </row>
    <row r="111" ht="15.75" customHeight="1">
      <c r="A111" s="2" t="s">
        <v>159</v>
      </c>
      <c r="B111" s="2" t="s">
        <v>160</v>
      </c>
      <c r="C111" s="2"/>
      <c r="D111" s="2"/>
      <c r="E111" s="2"/>
      <c r="F111" s="2"/>
      <c r="G111" s="2"/>
      <c r="H111" s="2"/>
      <c r="I111" s="2"/>
      <c r="J111" s="2"/>
      <c r="K111" s="2"/>
      <c r="L111" s="2"/>
      <c r="M111" s="2"/>
      <c r="N111" s="2"/>
      <c r="O111" s="2"/>
      <c r="P111" s="2"/>
      <c r="Q111" s="2"/>
      <c r="R111" s="2"/>
      <c r="S111" s="2"/>
      <c r="T111" s="2"/>
      <c r="U111" s="2"/>
      <c r="V111" s="2"/>
      <c r="W111" s="2"/>
      <c r="X111" s="2"/>
      <c r="Y111" s="2"/>
    </row>
    <row r="112" ht="15.75" customHeight="1">
      <c r="A112" s="2" t="s">
        <v>161</v>
      </c>
      <c r="B112" s="2" t="s">
        <v>17</v>
      </c>
      <c r="C112" s="2" t="s">
        <v>162</v>
      </c>
    </row>
    <row r="113" ht="15.75" customHeight="1">
      <c r="A113" s="2" t="s">
        <v>163</v>
      </c>
      <c r="B113" s="2">
        <v>30.0</v>
      </c>
      <c r="E113" s="2" t="s">
        <v>164</v>
      </c>
    </row>
    <row r="114" ht="15.75" customHeight="1">
      <c r="A114" s="2" t="s">
        <v>165</v>
      </c>
      <c r="B114" s="2">
        <v>30.0</v>
      </c>
    </row>
    <row r="115" ht="15.75" customHeight="1">
      <c r="A115" s="2" t="s">
        <v>166</v>
      </c>
      <c r="B115" s="2" t="s">
        <v>167</v>
      </c>
    </row>
    <row r="116" ht="15.75" customHeight="1">
      <c r="A116" s="2" t="s">
        <v>168</v>
      </c>
      <c r="B116" s="2">
        <v>50.0</v>
      </c>
    </row>
    <row r="117" ht="15.75" customHeight="1">
      <c r="A117" s="2" t="s">
        <v>169</v>
      </c>
      <c r="B117" s="2">
        <v>50.0</v>
      </c>
    </row>
    <row r="118" ht="15.75" customHeight="1">
      <c r="A118" s="2" t="s">
        <v>170</v>
      </c>
      <c r="B118" s="2" t="s">
        <v>171</v>
      </c>
    </row>
    <row r="119" ht="15.75" customHeight="1">
      <c r="A119" s="2" t="s">
        <v>172</v>
      </c>
      <c r="B119" s="2">
        <v>45.0</v>
      </c>
    </row>
    <row r="120" ht="15.75" customHeight="1">
      <c r="A120" s="2" t="s">
        <v>173</v>
      </c>
    </row>
    <row r="121" ht="15.75" customHeight="1">
      <c r="A121" s="2" t="s">
        <v>174</v>
      </c>
      <c r="B121" s="2">
        <v>50.0</v>
      </c>
    </row>
    <row r="122" ht="15.75" customHeight="1">
      <c r="A122" s="2" t="s">
        <v>175</v>
      </c>
      <c r="B122" s="2" t="s">
        <v>176</v>
      </c>
      <c r="E122" s="7" t="s">
        <v>177</v>
      </c>
    </row>
    <row r="123" ht="15.75" customHeight="1">
      <c r="A123" s="3" t="s">
        <v>178</v>
      </c>
      <c r="B123" s="2"/>
      <c r="E123" s="7"/>
    </row>
    <row r="124" ht="15.75" customHeight="1">
      <c r="A124" s="2" t="s">
        <v>179</v>
      </c>
      <c r="B124" s="2">
        <v>45.0</v>
      </c>
      <c r="E124" s="7"/>
    </row>
    <row r="125" ht="15.75" customHeight="1">
      <c r="A125" s="2" t="s">
        <v>180</v>
      </c>
      <c r="B125" s="5">
        <v>45.0</v>
      </c>
    </row>
    <row r="126" ht="15.75" customHeight="1">
      <c r="A126" s="2" t="s">
        <v>181</v>
      </c>
      <c r="B126" s="2" t="s">
        <v>182</v>
      </c>
    </row>
    <row r="127" ht="15.75" customHeight="1">
      <c r="A127" s="2" t="s">
        <v>183</v>
      </c>
      <c r="B127" s="2">
        <v>40.0</v>
      </c>
    </row>
    <row r="128" ht="15.75" customHeight="1">
      <c r="A128" s="2" t="s">
        <v>184</v>
      </c>
      <c r="B128" s="2" t="s">
        <v>185</v>
      </c>
    </row>
    <row r="129" ht="15.75" customHeight="1">
      <c r="A129" s="2" t="s">
        <v>186</v>
      </c>
      <c r="B129" s="2">
        <v>45.0</v>
      </c>
    </row>
    <row r="130" ht="15.75" customHeight="1">
      <c r="A130" s="2" t="s">
        <v>187</v>
      </c>
      <c r="B130" s="2">
        <v>25.0</v>
      </c>
    </row>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sheetData>
  <printOptions/>
  <pageMargins bottom="1.0" footer="0.0" header="0.0" left="0.75" right="0.75" top="1.0"/>
  <pageSetup orientation="portrait"/>
  <rowBreaks count="1" manualBreakCount="1">
    <brk id="54" man="1"/>
  </rowBreaks>
  <colBreaks count="2" manualBreakCount="2">
    <brk id="1" man="1"/>
    <brk id="5"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6" width="9.0"/>
  </cols>
  <sheetData>
    <row r="1">
      <c r="A1" s="1" t="s">
        <v>188</v>
      </c>
      <c r="B1" s="1" t="s">
        <v>189</v>
      </c>
      <c r="C1" s="1" t="s">
        <v>190</v>
      </c>
      <c r="D1" s="1" t="s">
        <v>191</v>
      </c>
      <c r="E1" s="1" t="s">
        <v>192</v>
      </c>
      <c r="F1" s="1" t="s">
        <v>193</v>
      </c>
    </row>
    <row r="2">
      <c r="A2" s="2" t="s">
        <v>194</v>
      </c>
    </row>
    <row r="3">
      <c r="A3" s="2" t="s">
        <v>195</v>
      </c>
      <c r="B3" s="2">
        <v>0.07</v>
      </c>
      <c r="C3" s="2" t="s">
        <v>196</v>
      </c>
      <c r="D3" s="9">
        <v>5.0</v>
      </c>
      <c r="E3" s="2" t="s">
        <v>197</v>
      </c>
      <c r="F3" s="9">
        <v>10.0</v>
      </c>
    </row>
    <row r="4">
      <c r="A4" s="2" t="s">
        <v>198</v>
      </c>
      <c r="B4" s="2" t="s">
        <v>199</v>
      </c>
    </row>
    <row r="5">
      <c r="A5" s="2" t="s">
        <v>200</v>
      </c>
    </row>
    <row r="6">
      <c r="A6" s="2" t="s">
        <v>201</v>
      </c>
    </row>
    <row r="11">
      <c r="A11" s="2" t="s">
        <v>143</v>
      </c>
      <c r="B11" s="2">
        <v>0.05</v>
      </c>
    </row>
    <row r="12">
      <c r="A12" s="2" t="s">
        <v>202</v>
      </c>
      <c r="B12" s="2">
        <v>0.07</v>
      </c>
    </row>
    <row r="13">
      <c r="A13" s="2" t="s">
        <v>203</v>
      </c>
      <c r="B13" s="2">
        <v>0.07</v>
      </c>
    </row>
    <row r="15">
      <c r="A15" s="2" t="s">
        <v>204</v>
      </c>
      <c r="B15" s="2">
        <v>0.07</v>
      </c>
    </row>
    <row r="19">
      <c r="A19" s="2" t="s">
        <v>205</v>
      </c>
      <c r="D19" s="2">
        <v>8.0</v>
      </c>
    </row>
    <row r="20">
      <c r="A20" s="2" t="s">
        <v>206</v>
      </c>
      <c r="B20" s="2">
        <v>0.012</v>
      </c>
      <c r="C20" s="2">
        <v>250.0</v>
      </c>
      <c r="D20" s="2">
        <f>B20*C20</f>
        <v>3</v>
      </c>
    </row>
    <row r="21" ht="15.75" customHeight="1">
      <c r="A21" s="2" t="s">
        <v>207</v>
      </c>
      <c r="B21" s="2">
        <v>0.003</v>
      </c>
      <c r="C21" s="2">
        <v>234.0</v>
      </c>
      <c r="D21" s="2">
        <f>C21*B21</f>
        <v>0.702</v>
      </c>
    </row>
    <row r="22" ht="15.75" customHeight="1">
      <c r="A22" s="2" t="s">
        <v>208</v>
      </c>
    </row>
    <row r="23" ht="15.75" customHeight="1">
      <c r="A23" s="2" t="s">
        <v>201</v>
      </c>
      <c r="B23" s="2">
        <v>0.06</v>
      </c>
    </row>
    <row r="24" ht="15.75" customHeight="1">
      <c r="A24" s="2" t="s">
        <v>209</v>
      </c>
      <c r="B24" s="2">
        <v>0.07</v>
      </c>
    </row>
    <row r="25" ht="15.75" customHeight="1">
      <c r="A25" s="2" t="s">
        <v>198</v>
      </c>
      <c r="B25" s="2">
        <v>0.07</v>
      </c>
    </row>
    <row r="26" ht="15.75" customHeight="1"/>
    <row r="27" ht="15.75" customHeight="1"/>
    <row r="28" ht="15.75" customHeight="1">
      <c r="A28" s="1" t="s">
        <v>210</v>
      </c>
    </row>
    <row r="29" ht="15.75" customHeight="1">
      <c r="A29" s="1"/>
    </row>
    <row r="30" ht="15.75" customHeight="1">
      <c r="A30" s="3" t="s">
        <v>211</v>
      </c>
    </row>
    <row r="31" ht="15.75" customHeight="1">
      <c r="A31" s="2" t="s">
        <v>212</v>
      </c>
    </row>
    <row r="32" ht="15.75" customHeight="1">
      <c r="A32" s="2" t="s">
        <v>163</v>
      </c>
    </row>
    <row r="33" ht="15.75" customHeight="1">
      <c r="A33" s="2" t="s">
        <v>198</v>
      </c>
    </row>
    <row r="34" ht="15.75" customHeight="1">
      <c r="A34" s="2" t="s">
        <v>50</v>
      </c>
    </row>
    <row r="35" ht="15.75" customHeight="1"/>
    <row r="36" ht="15.75" customHeight="1">
      <c r="A36" s="1" t="s">
        <v>213</v>
      </c>
    </row>
    <row r="37" ht="15.75" customHeight="1">
      <c r="A37" s="2" t="s">
        <v>179</v>
      </c>
    </row>
    <row r="38" ht="15.75" customHeight="1">
      <c r="A38" s="2" t="s">
        <v>143</v>
      </c>
    </row>
    <row r="39" ht="15.75" customHeight="1">
      <c r="A39" s="2" t="s">
        <v>214</v>
      </c>
      <c r="F39" s="5" t="s">
        <v>215</v>
      </c>
    </row>
    <row r="40" ht="15.75" customHeight="1">
      <c r="A40" s="2" t="s">
        <v>216</v>
      </c>
    </row>
    <row r="41" ht="15.75" customHeight="1">
      <c r="A41" s="2" t="s">
        <v>217</v>
      </c>
      <c r="F41" s="5" t="s">
        <v>218</v>
      </c>
    </row>
    <row r="42" ht="15.75" customHeight="1">
      <c r="A42" s="2" t="s">
        <v>5</v>
      </c>
      <c r="G42" s="5" t="s">
        <v>219</v>
      </c>
    </row>
    <row r="43" ht="15.75" customHeight="1">
      <c r="G43" s="5" t="s">
        <v>220</v>
      </c>
    </row>
    <row r="44" ht="15.75" customHeight="1">
      <c r="C44" s="2" t="s">
        <v>221</v>
      </c>
      <c r="F44" s="2"/>
      <c r="G44" s="5" t="s">
        <v>222</v>
      </c>
      <c r="O44" s="5" t="s">
        <v>223</v>
      </c>
    </row>
    <row r="45" ht="15.75" customHeight="1">
      <c r="B45" s="2" t="s">
        <v>224</v>
      </c>
      <c r="C45" s="3">
        <v>15.0</v>
      </c>
      <c r="D45" s="2">
        <v>30.0</v>
      </c>
      <c r="E45" s="2">
        <v>50.0</v>
      </c>
      <c r="F45" s="3">
        <v>250.0</v>
      </c>
      <c r="O45" s="5">
        <v>4.0</v>
      </c>
    </row>
    <row r="46" ht="15.75" customHeight="1">
      <c r="B46" s="10" t="s">
        <v>225</v>
      </c>
      <c r="G46" s="5" t="s">
        <v>226</v>
      </c>
    </row>
    <row r="47" ht="15.75" customHeight="1">
      <c r="A47" s="3" t="s">
        <v>227</v>
      </c>
      <c r="B47" s="11">
        <v>0.008</v>
      </c>
      <c r="C47" s="12">
        <f>C45*B47</f>
        <v>0.12</v>
      </c>
      <c r="D47" s="12">
        <f>D45*B47</f>
        <v>0.24</v>
      </c>
      <c r="E47" s="12">
        <f>E45*B47</f>
        <v>0.4</v>
      </c>
      <c r="F47" s="12">
        <f>F45*B47</f>
        <v>2</v>
      </c>
    </row>
    <row r="48" ht="15.75" customHeight="1">
      <c r="A48" s="2" t="s">
        <v>228</v>
      </c>
      <c r="B48" s="2">
        <v>0.03</v>
      </c>
      <c r="C48" s="12">
        <f>C47*B48</f>
        <v>0.0036</v>
      </c>
      <c r="D48" s="2">
        <f>D45*B48</f>
        <v>0.9</v>
      </c>
      <c r="E48" s="2">
        <f>E45*B48</f>
        <v>1.5</v>
      </c>
      <c r="F48" s="2">
        <f>F45*B48</f>
        <v>7.5</v>
      </c>
      <c r="G48" s="5" t="s">
        <v>229</v>
      </c>
    </row>
    <row r="49" ht="15.75" customHeight="1">
      <c r="A49" s="2" t="s">
        <v>230</v>
      </c>
      <c r="C49" s="12">
        <f t="shared" ref="C49:F49" si="1">C47+C48</f>
        <v>0.1236</v>
      </c>
      <c r="D49" s="12">
        <f t="shared" si="1"/>
        <v>1.14</v>
      </c>
      <c r="E49" s="12">
        <f t="shared" si="1"/>
        <v>1.9</v>
      </c>
      <c r="F49" s="12">
        <f t="shared" si="1"/>
        <v>9.5</v>
      </c>
      <c r="G49" s="5" t="s">
        <v>231</v>
      </c>
    </row>
    <row r="50" ht="15.75" customHeight="1"/>
    <row r="51" ht="15.75" customHeight="1">
      <c r="A51" s="2" t="s">
        <v>232</v>
      </c>
      <c r="D51" s="9">
        <v>10.0</v>
      </c>
      <c r="E51" s="2">
        <v>15.0</v>
      </c>
      <c r="F51" s="9">
        <v>25.0</v>
      </c>
    </row>
    <row r="52" ht="15.75" customHeight="1"/>
    <row r="53" ht="15.75" customHeight="1"/>
    <row r="54" ht="15.75" customHeight="1">
      <c r="A54" s="13" t="s">
        <v>233</v>
      </c>
    </row>
    <row r="55" ht="15.75" customHeight="1">
      <c r="A55" s="13" t="s">
        <v>234</v>
      </c>
    </row>
    <row r="56" ht="15.75" customHeight="1">
      <c r="F56" s="5" t="s">
        <v>235</v>
      </c>
    </row>
    <row r="57" ht="15.75" customHeight="1">
      <c r="A57" s="5" t="s">
        <v>236</v>
      </c>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2019-06-21T01:22:00Z</dcterms:created>
  <dc:creator>Katelyn Mudry</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1033-11.2.0.11537</vt:lpwstr>
  </property>
  <property fmtid="{D5CDD505-2E9C-101B-9397-08002B2CF9AE}" pid="3" name="ICV">
    <vt:lpwstr>DB94E29B4DDA45D095DB2E661ED8B011</vt:lpwstr>
  </property>
</Properties>
</file>